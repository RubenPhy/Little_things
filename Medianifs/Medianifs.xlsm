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vicentear001\Documents\Cursos\VBA\Visual Basic (jul19)\Mio\"/>
    </mc:Choice>
  </mc:AlternateContent>
  <bookViews>
    <workbookView xWindow="0" yWindow="0" windowWidth="15360" windowHeight="765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K7" i="1"/>
  <c r="E5" i="1" l="1"/>
  <c r="E6" i="1" l="1"/>
  <c r="F5" i="1" s="1"/>
  <c r="D9" i="1"/>
  <c r="D10" i="1"/>
  <c r="D15" i="1" s="1"/>
  <c r="D11" i="1"/>
  <c r="D16" i="1" s="1"/>
  <c r="D12" i="1"/>
  <c r="D17" i="1" s="1"/>
  <c r="D13" i="1"/>
  <c r="D18" i="1" s="1"/>
  <c r="D14" i="1"/>
  <c r="K9" i="1"/>
  <c r="L8" i="1" l="1"/>
  <c r="L10" i="1"/>
  <c r="E7" i="1"/>
  <c r="C6" i="1"/>
  <c r="C7" i="1"/>
  <c r="C9" i="1" s="1"/>
  <c r="C11" i="1" s="1"/>
  <c r="C13" i="1" s="1"/>
  <c r="C15" i="1" s="1"/>
  <c r="C17" i="1" s="1"/>
  <c r="E8" i="1" l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L7" i="1"/>
  <c r="L9" i="1"/>
  <c r="K6" i="1"/>
  <c r="C8" i="1"/>
  <c r="K4" i="1"/>
  <c r="K5" i="1"/>
  <c r="K8" i="1"/>
  <c r="C10" i="1" l="1"/>
  <c r="C12" i="1" s="1"/>
  <c r="C14" i="1" s="1"/>
  <c r="C16" i="1" s="1"/>
  <c r="C18" i="1" s="1"/>
  <c r="K10" i="1"/>
</calcChain>
</file>

<file path=xl/sharedStrings.xml><?xml version="1.0" encoding="utf-8"?>
<sst xmlns="http://schemas.openxmlformats.org/spreadsheetml/2006/main" count="30" uniqueCount="17">
  <si>
    <t>Ruben</t>
  </si>
  <si>
    <t>Casa</t>
  </si>
  <si>
    <t>Dato</t>
  </si>
  <si>
    <t>Averageifs</t>
  </si>
  <si>
    <t>Sumifs</t>
  </si>
  <si>
    <t>Medianifs</t>
  </si>
  <si>
    <t>Median</t>
  </si>
  <si>
    <t>Medianif</t>
  </si>
  <si>
    <t>Persona</t>
  </si>
  <si>
    <t>Zona</t>
  </si>
  <si>
    <t>Medianif2</t>
  </si>
  <si>
    <t>Medianif3</t>
  </si>
  <si>
    <t>Functions</t>
  </si>
  <si>
    <t>Results</t>
  </si>
  <si>
    <t>Checks</t>
  </si>
  <si>
    <t>Carlos</t>
  </si>
  <si>
    <t>Marc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</si>
</sst>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_);_(* \(#,##0\);_(* &quot;-&quot;_);@_)"/>
    <numFmt numFmtId="165" formatCode="0%_);\(0%\)"/>
  </numFmts>
  <fonts count="22" x14ac:knownFonts="1">
    <font>
      <sz val="9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sz val="9"/>
      <color rgb="FF9C0006"/>
      <name val="Arial"/>
      <family val="2"/>
    </font>
    <font>
      <b/>
      <sz val="9"/>
      <color rgb="FFFA7D00"/>
      <name val="Arial"/>
      <family val="2"/>
    </font>
    <font>
      <b/>
      <sz val="9"/>
      <color theme="0"/>
      <name val="Arial"/>
      <family val="2"/>
      <scheme val="minor"/>
    </font>
    <font>
      <sz val="9"/>
      <color theme="1"/>
      <name val="Arial"/>
      <family val="2"/>
      <scheme val="minor"/>
    </font>
    <font>
      <i/>
      <sz val="9"/>
      <color rgb="FF7F7F7F"/>
      <name val="Arial"/>
      <family val="2"/>
      <scheme val="minor"/>
    </font>
    <font>
      <sz val="9"/>
      <color rgb="FF006100"/>
      <name val="Arial"/>
      <family val="2"/>
    </font>
    <font>
      <b/>
      <sz val="9"/>
      <color theme="3"/>
      <name val="Arial"/>
      <family val="2"/>
    </font>
    <font>
      <b/>
      <sz val="9"/>
      <color theme="3"/>
      <name val="Georgia"/>
      <family val="2"/>
      <scheme val="major"/>
    </font>
    <font>
      <sz val="9"/>
      <color theme="3"/>
      <name val="Georgia"/>
      <family val="2"/>
      <scheme val="major"/>
    </font>
    <font>
      <sz val="9"/>
      <color rgb="FF3F3F76"/>
      <name val="Arial"/>
      <family val="2"/>
      <scheme val="minor"/>
    </font>
    <font>
      <sz val="9"/>
      <color rgb="FFFA7D00"/>
      <name val="Arial"/>
      <family val="2"/>
      <scheme val="minor"/>
    </font>
    <font>
      <sz val="9"/>
      <color rgb="FF9C6500"/>
      <name val="Arial"/>
      <family val="2"/>
    </font>
    <font>
      <b/>
      <sz val="9"/>
      <color rgb="FF3F3F3F"/>
      <name val="Arial"/>
      <family val="2"/>
      <scheme val="minor"/>
    </font>
    <font>
      <b/>
      <sz val="9"/>
      <color theme="3"/>
      <name val="Arial"/>
      <family val="2"/>
      <scheme val="minor"/>
    </font>
    <font>
      <sz val="8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b/>
      <sz val="11"/>
      <color theme="3"/>
      <name val="Georgia"/>
      <family val="2"/>
      <scheme val="major"/>
    </font>
    <font>
      <b/>
      <sz val="9"/>
      <color theme="1"/>
      <name val="Georgia"/>
      <family val="2"/>
      <scheme val="major"/>
    </font>
    <font>
      <b/>
      <sz val="9"/>
      <color theme="6"/>
      <name val="Aria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CD4B6"/>
        <bgColor indexed="64"/>
      </patternFill>
    </fill>
    <fill>
      <patternFill patternType="solid">
        <fgColor rgb="FFE8E6DF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medium">
        <color theme="4"/>
      </bottom>
      <diagonal/>
    </border>
  </borders>
  <cellStyleXfs count="30">
    <xf numFmtId="164" fontId="0" fillId="0" borderId="0"/>
    <xf numFmtId="9" fontId="1" fillId="0" borderId="0" applyFont="0" applyFill="0" applyBorder="0" applyAlignment="0" applyProtection="0"/>
    <xf numFmtId="49" fontId="19" fillId="0" borderId="0" applyAlignment="0" applyProtection="0"/>
    <xf numFmtId="49" fontId="9" fillId="0" borderId="6" applyFill="0" applyProtection="0">
      <alignment horizontal="right" wrapText="1"/>
    </xf>
    <xf numFmtId="49" fontId="10" fillId="0" borderId="0" applyProtection="0">
      <alignment wrapText="1"/>
    </xf>
    <xf numFmtId="49" fontId="11" fillId="0" borderId="7" applyFill="0" applyProtection="0">
      <alignment horizontal="right" wrapText="1"/>
    </xf>
    <xf numFmtId="49" fontId="11" fillId="0" borderId="0" applyProtection="0">
      <alignment wrapText="1"/>
    </xf>
    <xf numFmtId="0" fontId="8" fillId="2" borderId="0" applyNumberFormat="0" applyBorder="0" applyAlignment="0" applyProtection="0"/>
    <xf numFmtId="0" fontId="3" fillId="3" borderId="0" applyNumberFormat="0" applyBorder="0" applyAlignment="0" applyProtection="0"/>
    <xf numFmtId="0" fontId="14" fillId="4" borderId="0" applyNumberFormat="0" applyBorder="0" applyAlignment="0" applyProtection="0"/>
    <xf numFmtId="0" fontId="12" fillId="5" borderId="1" applyNumberFormat="0" applyAlignment="0" applyProtection="0"/>
    <xf numFmtId="0" fontId="15" fillId="6" borderId="2" applyNumberFormat="0" applyAlignment="0" applyProtection="0"/>
    <xf numFmtId="0" fontId="4" fillId="6" borderId="1" applyNumberFormat="0" applyAlignment="0" applyProtection="0"/>
    <xf numFmtId="0" fontId="13" fillId="0" borderId="3" applyNumberFormat="0" applyFill="0" applyAlignment="0" applyProtection="0"/>
    <xf numFmtId="0" fontId="5" fillId="7" borderId="4" applyNumberFormat="0" applyAlignment="0" applyProtection="0"/>
    <xf numFmtId="0" fontId="6" fillId="8" borderId="5" applyNumberFormat="0" applyAlignment="0" applyProtection="0"/>
    <xf numFmtId="0" fontId="7" fillId="0" borderId="0" applyNumberFormat="0" applyFill="0" applyBorder="0" applyAlignment="0" applyProtection="0"/>
    <xf numFmtId="0" fontId="20" fillId="0" borderId="10" applyNumberFormat="0" applyFill="0" applyAlignment="0" applyProtection="0"/>
    <xf numFmtId="164" fontId="16" fillId="0" borderId="0" applyNumberFormat="0" applyFill="0" applyBorder="0" applyAlignment="0" applyProtection="0"/>
    <xf numFmtId="164" fontId="6" fillId="9" borderId="0" applyNumberFormat="0" applyFont="0" applyBorder="0" applyAlignment="0" applyProtection="0"/>
    <xf numFmtId="0" fontId="6" fillId="0" borderId="0" applyFill="0" applyBorder="0" applyProtection="0"/>
    <xf numFmtId="164" fontId="6" fillId="10" borderId="0" applyNumberFormat="0" applyFont="0" applyBorder="0" applyAlignment="0" applyProtection="0"/>
    <xf numFmtId="165" fontId="6" fillId="0" borderId="0" applyFill="0" applyBorder="0" applyAlignment="0" applyProtection="0"/>
    <xf numFmtId="0" fontId="17" fillId="0" borderId="0" applyNumberFormat="0" applyAlignment="0" applyProtection="0"/>
    <xf numFmtId="0" fontId="16" fillId="0" borderId="6" applyFill="0" applyProtection="0">
      <alignment horizontal="right" wrapText="1"/>
    </xf>
    <xf numFmtId="0" fontId="16" fillId="0" borderId="0" applyFill="0" applyProtection="0">
      <alignment wrapText="1"/>
    </xf>
    <xf numFmtId="0" fontId="16" fillId="0" borderId="8" applyFill="0" applyProtection="0">
      <alignment wrapText="1"/>
    </xf>
    <xf numFmtId="164" fontId="18" fillId="0" borderId="9" applyNumberFormat="0" applyFill="0" applyAlignment="0" applyProtection="0"/>
    <xf numFmtId="0" fontId="2" fillId="0" borderId="0" applyAlignment="0" applyProtection="0"/>
    <xf numFmtId="0" fontId="18" fillId="0" borderId="10" applyNumberFormat="0" applyFill="0" applyAlignment="0" applyProtection="0"/>
  </cellStyleXfs>
  <cellXfs count="6">
    <xf numFmtId="164" fontId="0" fillId="0" borderId="0" xfId="0"/>
    <xf numFmtId="2" fontId="0" fillId="0" borderId="0" xfId="0" applyNumberFormat="1"/>
    <xf numFmtId="49" fontId="0" fillId="0" borderId="0" xfId="0" quotePrefix="1" applyNumberFormat="1"/>
    <xf numFmtId="164" fontId="0" fillId="0" borderId="0" xfId="0" quotePrefix="1"/>
    <xf numFmtId="0" fontId="21" fillId="0" borderId="6" xfId="24" applyFont="1" applyAlignment="1">
      <alignment horizontal="center" vertical="center" wrapText="1"/>
    </xf>
    <xf numFmtId="164" fontId="0" fillId="0" borderId="0" xfId="0" applyAlignment="1">
      <alignment horizontal="center" vertical="center"/>
    </xf>
  </cellXfs>
  <cellStyles count="30">
    <cellStyle name="Bad" xfId="8" builtinId="27" customBuiltin="1"/>
    <cellStyle name="Calculation" xfId="12" builtinId="22" customBuiltin="1"/>
    <cellStyle name="Check Cell" xfId="14" builtinId="23" customBuiltin="1"/>
    <cellStyle name="Explanatory Text" xfId="16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te" xfId="15" builtinId="10" customBuiltin="1"/>
    <cellStyle name="Output" xfId="11" builtinId="21" customBuiltin="1"/>
    <cellStyle name="Percent" xfId="1" builtinId="5" customBuiltin="1"/>
    <cellStyle name="Smart Bold" xfId="18"/>
    <cellStyle name="Smart Forecast" xfId="19"/>
    <cellStyle name="Smart General" xfId="20"/>
    <cellStyle name="Smart Highlight" xfId="21"/>
    <cellStyle name="Smart Percent" xfId="22"/>
    <cellStyle name="Smart Source" xfId="23"/>
    <cellStyle name="Smart Subtitle 1" xfId="24"/>
    <cellStyle name="Smart Subtitle 2" xfId="25"/>
    <cellStyle name="Smart Subtitle 3" xfId="26"/>
    <cellStyle name="Smart Subtotal" xfId="27"/>
    <cellStyle name="Smart Title" xfId="28"/>
    <cellStyle name="Smart Total" xfId="29"/>
    <cellStyle name="Title" xfId="2" builtinId="15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PwC">
  <a:themeElements>
    <a:clrScheme name="PwC">
      <a:dk1>
        <a:srgbClr val="000000"/>
      </a:dk1>
      <a:lt1>
        <a:srgbClr val="FFFFFF"/>
      </a:lt1>
      <a:dk2>
        <a:srgbClr val="7D7D7D"/>
      </a:dk2>
      <a:lt2>
        <a:srgbClr val="DEDEDE"/>
      </a:lt2>
      <a:accent1>
        <a:srgbClr val="D04A02"/>
      </a:accent1>
      <a:accent2>
        <a:srgbClr val="FFB600"/>
      </a:accent2>
      <a:accent3>
        <a:srgbClr val="E0301E"/>
      </a:accent3>
      <a:accent4>
        <a:srgbClr val="EB8C00"/>
      </a:accent4>
      <a:accent5>
        <a:srgbClr val="DB536A"/>
      </a:accent5>
      <a:accent6>
        <a:srgbClr val="464646"/>
      </a:accent6>
      <a:hlink>
        <a:srgbClr val="D04A02"/>
      </a:hlink>
      <a:folHlink>
        <a:srgbClr val="DB536A"/>
      </a:folHlink>
    </a:clrScheme>
    <a:fontScheme name="PwC">
      <a:majorFont>
        <a:latin typeface="Georgia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ltGray">
        <a:solidFill>
          <a:schemeClr val="tx2"/>
        </a:solidFill>
        <a:ln w="3175"/>
      </a:spPr>
      <a:bodyPr rtlCol="0" anchor="ctr"/>
      <a:lstStyle>
        <a:defPPr algn="ctr">
          <a:defRPr dirty="0" err="1" smtClean="0">
            <a:solidFill>
              <a:schemeClr val="bg1"/>
            </a:solidFill>
            <a:latin typeface="Georgia" pitchFamily="18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wrap="square" lIns="0" tIns="0" rIns="0" bIns="0" rtlCol="0">
        <a:noAutofit/>
      </a:bodyPr>
      <a:lstStyle>
        <a:defPPr indent="-274320">
          <a:spcAft>
            <a:spcPts val="900"/>
          </a:spcAft>
          <a:defRPr sz="2000" dirty="0" err="1" smtClean="0">
            <a:latin typeface="Georgia" pitchFamily="18" charset="0"/>
          </a:defRPr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L19"/>
  <sheetViews>
    <sheetView showGridLines="0" tabSelected="1" zoomScale="130" zoomScaleNormal="130" workbookViewId="0">
      <selection activeCell="F5" sqref="F5"/>
    </sheetView>
  </sheetViews>
  <sheetFormatPr defaultRowHeight="11.5" x14ac:dyDescent="0.25"/>
  <cols>
    <col min="10" max="10" width="9.8984375" bestFit="1" customWidth="1"/>
    <col min="11" max="11" width="8.69921875" customWidth="1"/>
  </cols>
  <sheetData>
    <row r="3" spans="2:12" ht="12" thickBot="1" x14ac:dyDescent="0.3">
      <c r="B3" s="4" t="s">
        <v>8</v>
      </c>
      <c r="C3" s="4" t="s">
        <v>1</v>
      </c>
      <c r="D3" s="4" t="s">
        <v>9</v>
      </c>
      <c r="E3" s="4" t="s">
        <v>2</v>
      </c>
      <c r="F3" s="4" t="s">
        <v>14</v>
      </c>
      <c r="G3" s="5"/>
      <c r="H3" s="5"/>
      <c r="I3" s="5"/>
      <c r="J3" s="4" t="s">
        <v>12</v>
      </c>
      <c r="K3" s="4" t="s">
        <v>13</v>
      </c>
      <c r="L3" s="4" t="s">
        <v>14</v>
      </c>
    </row>
    <row r="4" spans="2:12" x14ac:dyDescent="0.25">
      <c r="B4" t="s">
        <v>15</v>
      </c>
      <c r="C4">
        <v>1</v>
      </c>
      <c r="D4">
        <v>1</v>
      </c>
      <c r="E4">
        <v>1</v>
      </c>
      <c r="F4">
        <f>E4</f>
        <v>1</v>
      </c>
      <c r="J4" t="s">
        <v>3</v>
      </c>
      <c r="K4">
        <f>AVERAGEIFS(E4:E18,B4:B18,"="&amp;B4,C4:C18,"=0")</f>
        <v>3</v>
      </c>
    </row>
    <row r="5" spans="2:12" x14ac:dyDescent="0.25">
      <c r="B5" t="s">
        <v>15</v>
      </c>
      <c r="C5">
        <v>0</v>
      </c>
      <c r="D5">
        <v>1</v>
      </c>
      <c r="E5">
        <f t="shared" ref="E5:E18" si="0">E4+1</f>
        <v>2</v>
      </c>
      <c r="F5">
        <f>E6</f>
        <v>3</v>
      </c>
      <c r="J5" t="s">
        <v>4</v>
      </c>
      <c r="K5">
        <f>SUMIFS(E4:E18,B4:B18,"=Andres",C4:C18,"=0")</f>
        <v>0</v>
      </c>
    </row>
    <row r="6" spans="2:12" x14ac:dyDescent="0.25">
      <c r="B6" t="s">
        <v>15</v>
      </c>
      <c r="C6">
        <f t="shared" ref="C6:C18" si="1">C4</f>
        <v>1</v>
      </c>
      <c r="D6">
        <v>1</v>
      </c>
      <c r="E6">
        <f t="shared" si="0"/>
        <v>3</v>
      </c>
      <c r="J6" t="s">
        <v>6</v>
      </c>
      <c r="K6">
        <f>MEDIAN(E4:E18)</f>
        <v>8</v>
      </c>
    </row>
    <row r="7" spans="2:12" x14ac:dyDescent="0.25">
      <c r="B7" t="s">
        <v>15</v>
      </c>
      <c r="C7">
        <f t="shared" si="1"/>
        <v>0</v>
      </c>
      <c r="D7">
        <v>1</v>
      </c>
      <c r="E7">
        <f t="shared" si="0"/>
        <v>4</v>
      </c>
      <c r="J7" t="s">
        <v>7</v>
      </c>
      <c r="K7">
        <f>MEDIANIF(E4:E18,B4:B18,"="&amp;B4)</f>
        <v>3</v>
      </c>
      <c r="L7">
        <f>MEDIAN(E4:E8)</f>
        <v>3</v>
      </c>
    </row>
    <row r="8" spans="2:12" x14ac:dyDescent="0.25">
      <c r="B8" t="s">
        <v>15</v>
      </c>
      <c r="C8">
        <f t="shared" si="1"/>
        <v>1</v>
      </c>
      <c r="D8">
        <v>2</v>
      </c>
      <c r="E8">
        <f t="shared" si="0"/>
        <v>5</v>
      </c>
      <c r="J8" t="s">
        <v>5</v>
      </c>
      <c r="K8" s="3">
        <f>MEDIANIFs(E4:E18,B4:B18,"="&amp;B4,C4:C18,"&lt;&gt;"&amp;C5,D4:D18,"&gt;="&amp;D4)</f>
        <v>2</v>
      </c>
      <c r="L8">
        <f>MEDIAN(F4:F5)</f>
        <v>2</v>
      </c>
    </row>
    <row r="9" spans="2:12" x14ac:dyDescent="0.25">
      <c r="B9" t="s">
        <v>16</v>
      </c>
      <c r="C9">
        <f t="shared" si="1"/>
        <v>0</v>
      </c>
      <c r="D9">
        <f t="shared" ref="D9:D18" si="2">D4+1</f>
        <v>2</v>
      </c>
      <c r="E9">
        <f t="shared" si="0"/>
        <v>6</v>
      </c>
      <c r="J9" t="s">
        <v>10</v>
      </c>
      <c r="K9">
        <f>MEDIANIFS2(E4:E18,D4:D18,"="&amp;D4,B4:B18,"="&amp;B4)</f>
        <v>2.5</v>
      </c>
      <c r="L9">
        <f>MEDIAN(E4:E7)</f>
        <v>2.5</v>
      </c>
    </row>
    <row r="10" spans="2:12" x14ac:dyDescent="0.25">
      <c r="B10" t="s">
        <v>16</v>
      </c>
      <c r="C10">
        <f t="shared" si="1"/>
        <v>1</v>
      </c>
      <c r="D10">
        <f t="shared" si="2"/>
        <v>2</v>
      </c>
      <c r="E10">
        <f t="shared" si="0"/>
        <v>7</v>
      </c>
      <c r="J10" t="s">
        <v>11</v>
      </c>
      <c r="K10">
        <f>MEDIANIFS3(E4:E18,B4:B18,"="&amp;B4,C4:C18,"="&amp;C4,D4:D18,"="&amp;D4)</f>
        <v>2</v>
      </c>
      <c r="L10">
        <f>MEDIAN(F4:F5)</f>
        <v>2</v>
      </c>
    </row>
    <row r="11" spans="2:12" x14ac:dyDescent="0.25">
      <c r="B11" t="s">
        <v>16</v>
      </c>
      <c r="C11">
        <f t="shared" si="1"/>
        <v>0</v>
      </c>
      <c r="D11">
        <f t="shared" si="2"/>
        <v>2</v>
      </c>
      <c r="E11">
        <f t="shared" si="0"/>
        <v>8</v>
      </c>
    </row>
    <row r="12" spans="2:12" x14ac:dyDescent="0.25">
      <c r="B12" t="s">
        <v>16</v>
      </c>
      <c r="C12">
        <f t="shared" si="1"/>
        <v>1</v>
      </c>
      <c r="D12">
        <f t="shared" si="2"/>
        <v>2</v>
      </c>
      <c r="E12">
        <f t="shared" si="0"/>
        <v>9</v>
      </c>
    </row>
    <row r="13" spans="2:12" x14ac:dyDescent="0.25">
      <c r="B13" t="s">
        <v>16</v>
      </c>
      <c r="C13">
        <f t="shared" si="1"/>
        <v>0</v>
      </c>
      <c r="D13">
        <f t="shared" si="2"/>
        <v>3</v>
      </c>
      <c r="E13">
        <f t="shared" si="0"/>
        <v>10</v>
      </c>
    </row>
    <row r="14" spans="2:12" x14ac:dyDescent="0.25">
      <c r="B14" t="s">
        <v>0</v>
      </c>
      <c r="C14">
        <f t="shared" si="1"/>
        <v>1</v>
      </c>
      <c r="D14">
        <f t="shared" si="2"/>
        <v>3</v>
      </c>
      <c r="E14">
        <f t="shared" si="0"/>
        <v>11</v>
      </c>
    </row>
    <row r="15" spans="2:12" x14ac:dyDescent="0.25">
      <c r="B15" t="s">
        <v>0</v>
      </c>
      <c r="C15">
        <f t="shared" si="1"/>
        <v>0</v>
      </c>
      <c r="D15">
        <f t="shared" si="2"/>
        <v>3</v>
      </c>
      <c r="E15">
        <f t="shared" si="0"/>
        <v>12</v>
      </c>
    </row>
    <row r="16" spans="2:12" x14ac:dyDescent="0.25">
      <c r="B16" t="s">
        <v>0</v>
      </c>
      <c r="C16">
        <f t="shared" si="1"/>
        <v>1</v>
      </c>
      <c r="D16">
        <f t="shared" si="2"/>
        <v>3</v>
      </c>
      <c r="E16">
        <f t="shared" si="0"/>
        <v>13</v>
      </c>
      <c r="G16" s="1"/>
    </row>
    <row r="17" spans="2:7" x14ac:dyDescent="0.25">
      <c r="B17" t="s">
        <v>0</v>
      </c>
      <c r="C17">
        <f t="shared" si="1"/>
        <v>0</v>
      </c>
      <c r="D17">
        <f t="shared" si="2"/>
        <v>3</v>
      </c>
      <c r="E17">
        <f t="shared" si="0"/>
        <v>14</v>
      </c>
    </row>
    <row r="18" spans="2:7" x14ac:dyDescent="0.25">
      <c r="B18" t="s">
        <v>0</v>
      </c>
      <c r="C18">
        <f t="shared" si="1"/>
        <v>1</v>
      </c>
      <c r="D18">
        <f t="shared" si="2"/>
        <v>4</v>
      </c>
      <c r="E18">
        <f t="shared" si="0"/>
        <v>15</v>
      </c>
    </row>
    <row r="19" spans="2:7" x14ac:dyDescent="0.25">
      <c r="G19" s="2"/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PricewaterhouseCoopers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Ruben Vicente Arevalo</dc:creator>
  <cp:lastModifiedBy>Ruben Vicente Arevalo</cp:lastModifiedBy>
  <dcterms:created xsi:type="dcterms:W3CDTF">2015-11-18T11:08:58Z</dcterms:created>
  <dcterms:modified xsi:type="dcterms:W3CDTF">2019-08-23T08:25:35Z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randFormat">
    <vt:lpwstr>1.0</vt:lpwstr>
  </property>
  <property fmtid="{D5CDD505-2E9C-101B-9397-08002B2CF9AE}" pid="3" name="Smrt_NotesFontSize">
    <vt:lpwstr>8</vt:lpwstr>
  </property>
  <property fmtid="{D5CDD505-2E9C-101B-9397-08002B2CF9AE}" pid="4" name="Smrt_WorkbookThemeColor">
    <vt:lpwstr>PwC</vt:lpwstr>
  </property>
  <property fmtid="{D5CDD505-2E9C-101B-9397-08002B2CF9AE}" pid="5" name="Smrt_WorkbookNumberDisplay">
    <vt:lpwstr>0</vt:lpwstr>
  </property>
  <property fmtid="{D5CDD505-2E9C-101B-9397-08002B2CF9AE}" pid="6" name="Smrt_WorkbookPercentageDisplay">
    <vt:lpwstr>0</vt:lpwstr>
  </property>
</Properties>
</file>